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Procurement_Data" sheetId="1" r:id="rId5"/>
    <sheet state="visible" name="CCM_Audit_Testing" sheetId="2" r:id="rId6"/>
    <sheet state="visible" name="Pivot_Summary_Report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<sst xmlns="http://schemas.openxmlformats.org/spreadsheetml/2006/main" count="281" uniqueCount="74">
  <si>
    <t>Record_ID</t>
  </si>
  <si>
    <t>PO_Number</t>
  </si>
  <si>
    <t>Vendor_Name</t>
  </si>
  <si>
    <t>PO_Amount_INR</t>
  </si>
  <si>
    <t>PO_Date</t>
  </si>
  <si>
    <t>Approval_Manager_Role</t>
  </si>
  <si>
    <t>Vendor_Onboarding_Status</t>
  </si>
  <si>
    <t>Payment_Status</t>
  </si>
  <si>
    <t>Invoice_Number</t>
  </si>
  <si>
    <t>PO-1001</t>
  </si>
  <si>
    <t>Apex Tech Solutions</t>
  </si>
  <si>
    <t>Line Manager</t>
  </si>
  <si>
    <t>Completed</t>
  </si>
  <si>
    <t>Disbursed</t>
  </si>
  <si>
    <t>INV-8801</t>
  </si>
  <si>
    <t>Unapproved_Vendor_Check</t>
  </si>
  <si>
    <t>PO-1002</t>
  </si>
  <si>
    <t>Global Logistics Corp</t>
  </si>
  <si>
    <t>Senior Director</t>
  </si>
  <si>
    <t>INV-8802</t>
  </si>
  <si>
    <t>PO-1003</t>
  </si>
  <si>
    <t>Split_PO_Check</t>
  </si>
  <si>
    <t>Swift Supplies Ltd</t>
  </si>
  <si>
    <t>Duplicate_Invoice_Check</t>
  </si>
  <si>
    <t>Pending</t>
  </si>
  <si>
    <t>INV-8803</t>
  </si>
  <si>
    <t>PO-1004</t>
  </si>
  <si>
    <t>INV-8804</t>
  </si>
  <si>
    <t>PO-1005</t>
  </si>
  <si>
    <t>INV-8805</t>
  </si>
  <si>
    <t>PO-1006</t>
  </si>
  <si>
    <t>Prime Office Gear</t>
  </si>
  <si>
    <t>INV-8806</t>
  </si>
  <si>
    <t>PO-1007</t>
  </si>
  <si>
    <t>INV-8807</t>
  </si>
  <si>
    <t>PO-1008</t>
  </si>
  <si>
    <t>Vertex Industrial</t>
  </si>
  <si>
    <t>INV-8808</t>
  </si>
  <si>
    <t>PO-1009</t>
  </si>
  <si>
    <t>Delta Services</t>
  </si>
  <si>
    <t>INV-8809</t>
  </si>
  <si>
    <t>PO-1010</t>
  </si>
  <si>
    <t>INV-8810</t>
  </si>
  <si>
    <t>PO-1011</t>
  </si>
  <si>
    <t>Titan Component Hub</t>
  </si>
  <si>
    <t>INV-8811</t>
  </si>
  <si>
    <t>PO-1012</t>
  </si>
  <si>
    <t>INV-8812</t>
  </si>
  <si>
    <t>PO-1013</t>
  </si>
  <si>
    <t>INV-8813</t>
  </si>
  <si>
    <t>PO-1014</t>
  </si>
  <si>
    <t>Omni Cloud Systems</t>
  </si>
  <si>
    <t>INV-8814</t>
  </si>
  <si>
    <t>PO-1015</t>
  </si>
  <si>
    <t>INV-8815</t>
  </si>
  <si>
    <t>PO-1016</t>
  </si>
  <si>
    <t>PO-1017</t>
  </si>
  <si>
    <t>INV-8817</t>
  </si>
  <si>
    <t>PO-1018</t>
  </si>
  <si>
    <t>INV-8818</t>
  </si>
  <si>
    <t>PO-1019</t>
  </si>
  <si>
    <t>INV-8819</t>
  </si>
  <si>
    <t>PO-1020</t>
  </si>
  <si>
    <t>INV-8820</t>
  </si>
  <si>
    <t>COUNTA of Record_ID</t>
  </si>
  <si>
    <t>Failure_Rate (%)</t>
  </si>
  <si>
    <t>CONTROL EXCEPTION</t>
  </si>
  <si>
    <t>PASS</t>
  </si>
  <si>
    <t>PASS Total</t>
  </si>
  <si>
    <t>CONTROL EXCEPTION Total</t>
  </si>
  <si>
    <t>CONTROL EXCEPTION - SPLIT PO</t>
  </si>
  <si>
    <t>CONTROL EXCEPTION - SPLIT PO Total</t>
  </si>
  <si>
    <t>CONTROL EXCEPTION - DUPLICATE INVOICE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</si>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</sst>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1" sheet="CCM_Audit_Testing"/>
  </cacheSource>
  <cacheFields>
    <cacheField name="Record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</sharedItems>
    </cacheField>
    <cacheField name="PO_Number" numFmtId="0">
      <sharedItems>
        <s v="PO-1001"/>
        <s v="PO-1002"/>
        <s v="PO-1003"/>
        <s v="PO-1004"/>
        <s v="PO-1005"/>
        <s v="PO-1006"/>
        <s v="PO-1007"/>
        <s v="PO-1008"/>
        <s v="PO-1009"/>
        <s v="PO-1010"/>
        <s v="PO-1011"/>
        <s v="PO-1012"/>
        <s v="PO-1013"/>
        <s v="PO-1014"/>
        <s v="PO-1015"/>
        <s v="PO-1016"/>
        <s v="PO-1017"/>
        <s v="PO-1018"/>
        <s v="PO-1019"/>
        <s v="PO-1020"/>
      </sharedItems>
    </cacheField>
    <cacheField name="Vendor_Name" numFmtId="0">
      <sharedItems>
        <s v="Apex Tech Solutions"/>
        <s v="Global Logistics Corp"/>
        <s v="Swift Supplies Ltd"/>
        <s v="Prime Office Gear"/>
        <s v="Vertex Industrial"/>
        <s v="Delta Services"/>
        <s v="Titan Component Hub"/>
        <s v="Omni Cloud Systems"/>
      </sharedItems>
    </cacheField>
    <cacheField name="PO_Amount_INR" numFmtId="0">
      <sharedItems containsSemiMixedTypes="0" containsString="0" containsNumber="1" containsInteger="1">
        <n v="45000.0"/>
        <n v="120000.0"/>
        <n v="75000.0"/>
        <n v="60000.0"/>
        <n v="65000.0"/>
        <n v="30000.0"/>
        <n v="110000.0"/>
        <n v="250000.0"/>
        <n v="15000.0"/>
        <n v="40000.0"/>
        <n v="55000.0"/>
        <n v="58000.0"/>
        <n v="95000.0"/>
        <n v="350000.0"/>
        <n v="18000.0"/>
        <n v="25000.0"/>
        <n v="85000.0"/>
        <n v="90000.0"/>
        <n v="48000.0"/>
        <n v="130000.0"/>
      </sharedItems>
    </cacheField>
    <cacheField name="PO_Date" numFmtId="164">
      <sharedItems containsSemiMixedTypes="0" containsDate="1" containsString="0">
        <d v="2026-05-01T00:00:00Z"/>
        <d v="2026-05-03T00:00:00Z"/>
        <d v="2026-05-04T00:00:00Z"/>
        <d v="2026-05-05T00:00:00Z"/>
        <d v="2026-05-08T00:00:00Z"/>
        <d v="2026-05-10T00:00:00Z"/>
        <d v="2026-05-12T00:00:00Z"/>
        <d v="2026-05-14T00:00:00Z"/>
        <d v="2026-05-15T00:00:00Z"/>
        <d v="2026-05-18T00:00:00Z"/>
        <d v="2026-05-20T00:00:00Z"/>
        <d v="2026-05-22T00:00:00Z"/>
        <d v="2026-05-25T00:00:00Z"/>
        <d v="2026-05-26T00:00:00Z"/>
        <d v="2026-05-28T00:00:00Z"/>
        <d v="2026-05-29T00:00:00Z"/>
        <d v="2026-06-01T00:00:00Z"/>
        <d v="2026-06-02T00:00:00Z"/>
      </sharedItems>
    </cacheField>
    <cacheField name="Approval_Manager_Role" numFmtId="0">
      <sharedItems>
        <s v="Line Manager"/>
        <s v="Senior Director"/>
      </sharedItems>
    </cacheField>
    <cacheField name="Vendor_Onboarding_Status" numFmtId="0">
      <sharedItems>
        <s v="Completed"/>
        <s v="Pending"/>
      </sharedItems>
    </cacheField>
    <cacheField name="Payment_Status" numFmtId="0">
      <sharedItems>
        <s v="Disbursed"/>
        <s v="Pending"/>
      </sharedItems>
    </cacheField>
    <cacheField name="Invoice_Number" numFmtId="0">
      <sharedItems>
        <s v="INV-8801"/>
        <s v="INV-8802"/>
        <s v="INV-8803"/>
        <s v="INV-8804"/>
        <s v="INV-8805"/>
        <s v="INV-8806"/>
        <s v="INV-8807"/>
        <s v="INV-8808"/>
        <s v="INV-8809"/>
        <s v="INV-8810"/>
        <s v="INV-8811"/>
        <s v="INV-8812"/>
        <s v="INV-8813"/>
        <s v="INV-8814"/>
        <s v="INV-8815"/>
        <s v="INV-8817"/>
        <s v="INV-8818"/>
        <s v="INV-8819"/>
        <s v="INV-8820"/>
      </sharedItems>
    </cacheField>
    <cacheField name="Unapproved_Vendor_Check" numFmtId="0">
      <sharedItems>
        <s v="PASS"/>
        <s v="CONTROL EXCEPTION"/>
      </sharedItems>
    </cacheField>
    <cacheField name="Split_PO_Check" numFmtId="0">
      <sharedItems>
        <s v="PASS"/>
        <s v="CONTROL EXCEPTION - SPLIT PO"/>
      </sharedItems>
    </cacheField>
    <cacheField name="Duplicate_Invoice_Check" numFmtId="0">
      <sharedItems>
        <s v="PASS"/>
        <s v="CONTROL EXCEPTION - DUPLICATE INVOIC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Summary_Report" cacheId="0" dataCaption="" compact="0" compactData="0">
  <location ref="A1:D11" firstHeaderRow="0" firstDataRow="3" firstDataCol="0"/>
  <pivotFields>
    <pivotField name="Record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Vendo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O_Amount_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O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pproval_Manager_Role" compact="0" outline="0" multipleItemSelectionAllowed="1" showAll="0">
      <items>
        <item x="0"/>
        <item x="1"/>
        <item t="default"/>
      </items>
    </pivotField>
    <pivotField name="Vendor_Onboarding_Status" compact="0" outline="0" multipleItemSelectionAllowed="1" showAll="0">
      <items>
        <item x="0"/>
        <item x="1"/>
        <item t="default"/>
      </items>
    </pivotField>
    <pivotField name="Payment_Status" compact="0" outline="0" multipleItemSelectionAllowed="1" showAll="0">
      <items>
        <item x="0"/>
        <item x="1"/>
        <item t="default"/>
      </items>
    </pivotField>
    <pivotField name="Invoice_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Unapproved_Vendor_Check" axis="axisRow" compact="0" outline="0" multipleItemSelectionAllowed="1" showAll="0" sortType="ascending">
      <items>
        <item x="1"/>
        <item x="0"/>
        <item t="default"/>
      </items>
    </pivotField>
    <pivotField name="Split_PO_Check" axis="axisRow" compact="0" outline="0" multipleItemSelectionAllowed="1" showAll="0" sortType="ascending">
      <items>
        <item x="1"/>
        <item x="0"/>
        <item t="default"/>
      </items>
    </pivotField>
    <pivotField name="Duplicate_Invoice_Check" axis="axisRow" compact="0" outline="0" multipleItemSelectionAllowed="1" showAll="0" sortType="ascending">
      <items>
        <item x="1"/>
        <item x="0"/>
        <item t="default"/>
      </items>
    </pivotField>
  </pivotFields>
  <rowFields>
    <field x="9"/>
    <field x="10"/>
    <field x="11"/>
  </rowFields>
  <dataFields>
    <dataField name="COUNTA of Record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>
        <v>45000.0</v>
      </c>
      <c r="E2" s="2">
        <v>46143.0</v>
      </c>
      <c r="F2" s="1" t="s">
        <v>11</v>
      </c>
      <c r="G2" s="1" t="s">
        <v>12</v>
      </c>
      <c r="H2" s="1" t="s">
        <v>13</v>
      </c>
      <c r="I2" s="1" t="s">
        <v>14</v>
      </c>
    </row>
    <row r="3">
      <c r="A3" s="1">
        <v>2.0</v>
      </c>
      <c r="B3" s="1" t="s">
        <v>16</v>
      </c>
      <c r="C3" s="1" t="s">
        <v>17</v>
      </c>
      <c r="D3" s="1">
        <v>120000.0</v>
      </c>
      <c r="E3" s="2">
        <v>46145.0</v>
      </c>
      <c r="F3" s="1" t="s">
        <v>18</v>
      </c>
      <c r="G3" s="1" t="s">
        <v>12</v>
      </c>
      <c r="H3" s="1" t="s">
        <v>13</v>
      </c>
      <c r="I3" s="1" t="s">
        <v>19</v>
      </c>
    </row>
    <row r="4">
      <c r="A4" s="1">
        <v>3.0</v>
      </c>
      <c r="B4" s="1" t="s">
        <v>20</v>
      </c>
      <c r="C4" s="1" t="s">
        <v>22</v>
      </c>
      <c r="D4" s="1">
        <v>75000.0</v>
      </c>
      <c r="E4" s="2">
        <v>46146.0</v>
      </c>
      <c r="F4" s="1" t="s">
        <v>11</v>
      </c>
      <c r="G4" s="1" t="s">
        <v>24</v>
      </c>
      <c r="H4" s="1" t="s">
        <v>13</v>
      </c>
      <c r="I4" s="1" t="s">
        <v>25</v>
      </c>
    </row>
    <row r="5">
      <c r="A5" s="1">
        <v>4.0</v>
      </c>
      <c r="B5" s="1" t="s">
        <v>26</v>
      </c>
      <c r="C5" s="1" t="s">
        <v>10</v>
      </c>
      <c r="D5" s="1">
        <v>60000.0</v>
      </c>
      <c r="E5" s="2">
        <v>46147.0</v>
      </c>
      <c r="F5" s="1" t="s">
        <v>11</v>
      </c>
      <c r="G5" s="1" t="s">
        <v>12</v>
      </c>
      <c r="H5" s="1" t="s">
        <v>13</v>
      </c>
      <c r="I5" s="1" t="s">
        <v>27</v>
      </c>
    </row>
    <row r="6">
      <c r="A6" s="1">
        <v>5.0</v>
      </c>
      <c r="B6" s="1" t="s">
        <v>28</v>
      </c>
      <c r="C6" s="1" t="s">
        <v>10</v>
      </c>
      <c r="D6" s="1">
        <v>65000.0</v>
      </c>
      <c r="E6" s="2">
        <v>46147.0</v>
      </c>
      <c r="F6" s="1" t="s">
        <v>11</v>
      </c>
      <c r="G6" s="1" t="s">
        <v>12</v>
      </c>
      <c r="H6" s="1" t="s">
        <v>13</v>
      </c>
      <c r="I6" s="1" t="s">
        <v>29</v>
      </c>
    </row>
    <row r="7">
      <c r="A7" s="1">
        <v>6.0</v>
      </c>
      <c r="B7" s="1" t="s">
        <v>30</v>
      </c>
      <c r="C7" s="1" t="s">
        <v>31</v>
      </c>
      <c r="D7" s="1">
        <v>30000.0</v>
      </c>
      <c r="E7" s="2">
        <v>46150.0</v>
      </c>
      <c r="F7" s="1" t="s">
        <v>11</v>
      </c>
      <c r="G7" s="1" t="s">
        <v>12</v>
      </c>
      <c r="H7" s="1" t="s">
        <v>13</v>
      </c>
      <c r="I7" s="1" t="s">
        <v>32</v>
      </c>
    </row>
    <row r="8">
      <c r="A8" s="1">
        <v>7.0</v>
      </c>
      <c r="B8" s="1" t="s">
        <v>33</v>
      </c>
      <c r="C8" s="1" t="s">
        <v>22</v>
      </c>
      <c r="D8" s="1">
        <v>110000.0</v>
      </c>
      <c r="E8" s="2">
        <v>46152.0</v>
      </c>
      <c r="F8" s="1" t="s">
        <v>11</v>
      </c>
      <c r="G8" s="1" t="s">
        <v>24</v>
      </c>
      <c r="H8" s="1" t="s">
        <v>13</v>
      </c>
      <c r="I8" s="1" t="s">
        <v>34</v>
      </c>
    </row>
    <row r="9">
      <c r="A9" s="1">
        <v>8.0</v>
      </c>
      <c r="B9" s="1" t="s">
        <v>35</v>
      </c>
      <c r="C9" s="1" t="s">
        <v>36</v>
      </c>
      <c r="D9" s="1">
        <v>250000.0</v>
      </c>
      <c r="E9" s="2">
        <v>46154.0</v>
      </c>
      <c r="F9" s="1" t="s">
        <v>18</v>
      </c>
      <c r="G9" s="1" t="s">
        <v>12</v>
      </c>
      <c r="H9" s="1" t="s">
        <v>13</v>
      </c>
      <c r="I9" s="1" t="s">
        <v>37</v>
      </c>
    </row>
    <row r="10">
      <c r="A10" s="1">
        <v>9.0</v>
      </c>
      <c r="B10" s="1" t="s">
        <v>38</v>
      </c>
      <c r="C10" s="1" t="s">
        <v>39</v>
      </c>
      <c r="D10" s="1">
        <v>15000.0</v>
      </c>
      <c r="E10" s="2">
        <v>46156.0</v>
      </c>
      <c r="F10" s="1" t="s">
        <v>11</v>
      </c>
      <c r="G10" s="1" t="s">
        <v>12</v>
      </c>
      <c r="H10" s="1" t="s">
        <v>24</v>
      </c>
      <c r="I10" s="1" t="s">
        <v>40</v>
      </c>
    </row>
    <row r="11">
      <c r="A11" s="1">
        <v>10.0</v>
      </c>
      <c r="B11" s="1" t="s">
        <v>41</v>
      </c>
      <c r="C11" s="1" t="s">
        <v>22</v>
      </c>
      <c r="D11" s="1">
        <v>40000.0</v>
      </c>
      <c r="E11" s="2">
        <v>46157.0</v>
      </c>
      <c r="F11" s="1" t="s">
        <v>11</v>
      </c>
      <c r="G11" s="1" t="s">
        <v>24</v>
      </c>
      <c r="H11" s="1" t="s">
        <v>13</v>
      </c>
      <c r="I11" s="1" t="s">
        <v>42</v>
      </c>
    </row>
    <row r="12">
      <c r="A12" s="1">
        <v>11.0</v>
      </c>
      <c r="B12" s="1" t="s">
        <v>43</v>
      </c>
      <c r="C12" s="1" t="s">
        <v>44</v>
      </c>
      <c r="D12" s="1">
        <v>55000.0</v>
      </c>
      <c r="E12" s="2">
        <v>46160.0</v>
      </c>
      <c r="F12" s="1" t="s">
        <v>11</v>
      </c>
      <c r="G12" s="1" t="s">
        <v>12</v>
      </c>
      <c r="H12" s="1" t="s">
        <v>13</v>
      </c>
      <c r="I12" s="1" t="s">
        <v>45</v>
      </c>
    </row>
    <row r="13">
      <c r="A13" s="1">
        <v>12.0</v>
      </c>
      <c r="B13" s="1" t="s">
        <v>46</v>
      </c>
      <c r="C13" s="1" t="s">
        <v>44</v>
      </c>
      <c r="D13" s="1">
        <v>58000.0</v>
      </c>
      <c r="E13" s="2">
        <v>46160.0</v>
      </c>
      <c r="F13" s="1" t="s">
        <v>11</v>
      </c>
      <c r="G13" s="1" t="s">
        <v>12</v>
      </c>
      <c r="H13" s="1" t="s">
        <v>13</v>
      </c>
      <c r="I13" s="1" t="s">
        <v>47</v>
      </c>
    </row>
    <row r="14">
      <c r="A14" s="1">
        <v>13.0</v>
      </c>
      <c r="B14" s="1" t="s">
        <v>48</v>
      </c>
      <c r="C14" s="1" t="s">
        <v>17</v>
      </c>
      <c r="D14" s="1">
        <v>95000.0</v>
      </c>
      <c r="E14" s="2">
        <v>46162.0</v>
      </c>
      <c r="F14" s="1" t="s">
        <v>11</v>
      </c>
      <c r="G14" s="1" t="s">
        <v>12</v>
      </c>
      <c r="H14" s="1" t="s">
        <v>13</v>
      </c>
      <c r="I14" s="1" t="s">
        <v>49</v>
      </c>
    </row>
    <row r="15">
      <c r="A15" s="1">
        <v>14.0</v>
      </c>
      <c r="B15" s="1" t="s">
        <v>50</v>
      </c>
      <c r="C15" s="1" t="s">
        <v>51</v>
      </c>
      <c r="D15" s="1">
        <v>350000.0</v>
      </c>
      <c r="E15" s="2">
        <v>46164.0</v>
      </c>
      <c r="F15" s="1" t="s">
        <v>18</v>
      </c>
      <c r="G15" s="1" t="s">
        <v>24</v>
      </c>
      <c r="H15" s="1" t="s">
        <v>13</v>
      </c>
      <c r="I15" s="1" t="s">
        <v>52</v>
      </c>
    </row>
    <row r="16">
      <c r="A16" s="1">
        <v>15.0</v>
      </c>
      <c r="B16" s="1" t="s">
        <v>53</v>
      </c>
      <c r="C16" s="1" t="s">
        <v>39</v>
      </c>
      <c r="D16" s="1">
        <v>18000.0</v>
      </c>
      <c r="E16" s="2">
        <v>46167.0</v>
      </c>
      <c r="F16" s="1" t="s">
        <v>11</v>
      </c>
      <c r="G16" s="1" t="s">
        <v>12</v>
      </c>
      <c r="H16" s="1" t="s">
        <v>24</v>
      </c>
      <c r="I16" s="1" t="s">
        <v>54</v>
      </c>
    </row>
    <row r="17">
      <c r="A17" s="1">
        <v>16.0</v>
      </c>
      <c r="B17" s="1" t="s">
        <v>55</v>
      </c>
      <c r="C17" s="1" t="s">
        <v>31</v>
      </c>
      <c r="D17" s="1">
        <v>25000.0</v>
      </c>
      <c r="E17" s="2">
        <v>46168.0</v>
      </c>
      <c r="F17" s="1" t="s">
        <v>11</v>
      </c>
      <c r="G17" s="1" t="s">
        <v>12</v>
      </c>
      <c r="H17" s="1" t="s">
        <v>13</v>
      </c>
      <c r="I17" s="1" t="s">
        <v>32</v>
      </c>
    </row>
    <row r="18">
      <c r="A18" s="1">
        <v>17.0</v>
      </c>
      <c r="B18" s="1" t="s">
        <v>56</v>
      </c>
      <c r="C18" s="1" t="s">
        <v>36</v>
      </c>
      <c r="D18" s="1">
        <v>85000.0</v>
      </c>
      <c r="E18" s="2">
        <v>46170.0</v>
      </c>
      <c r="F18" s="1" t="s">
        <v>11</v>
      </c>
      <c r="G18" s="1" t="s">
        <v>12</v>
      </c>
      <c r="H18" s="1" t="s">
        <v>13</v>
      </c>
      <c r="I18" s="1" t="s">
        <v>57</v>
      </c>
    </row>
    <row r="19">
      <c r="A19" s="1">
        <v>18.0</v>
      </c>
      <c r="B19" s="1" t="s">
        <v>58</v>
      </c>
      <c r="C19" s="1" t="s">
        <v>22</v>
      </c>
      <c r="D19" s="1">
        <v>90000.0</v>
      </c>
      <c r="E19" s="2">
        <v>46171.0</v>
      </c>
      <c r="F19" s="1" t="s">
        <v>11</v>
      </c>
      <c r="G19" s="1" t="s">
        <v>24</v>
      </c>
      <c r="H19" s="1" t="s">
        <v>24</v>
      </c>
      <c r="I19" s="1" t="s">
        <v>59</v>
      </c>
    </row>
    <row r="20">
      <c r="A20" s="1">
        <v>19.0</v>
      </c>
      <c r="B20" s="1" t="s">
        <v>60</v>
      </c>
      <c r="C20" s="1" t="s">
        <v>44</v>
      </c>
      <c r="D20" s="1">
        <v>48000.0</v>
      </c>
      <c r="E20" s="2">
        <v>46174.0</v>
      </c>
      <c r="F20" s="1" t="s">
        <v>11</v>
      </c>
      <c r="G20" s="1" t="s">
        <v>12</v>
      </c>
      <c r="H20" s="1" t="s">
        <v>13</v>
      </c>
      <c r="I20" s="1" t="s">
        <v>61</v>
      </c>
    </row>
    <row r="21">
      <c r="A21" s="1">
        <v>20.0</v>
      </c>
      <c r="B21" s="1" t="s">
        <v>62</v>
      </c>
      <c r="C21" s="1" t="s">
        <v>10</v>
      </c>
      <c r="D21" s="1">
        <v>130000.0</v>
      </c>
      <c r="E21" s="2">
        <v>46175.0</v>
      </c>
      <c r="F21" s="1" t="s">
        <v>18</v>
      </c>
      <c r="G21" s="1" t="s">
        <v>12</v>
      </c>
      <c r="H21" s="1" t="s">
        <v>13</v>
      </c>
      <c r="I21" s="1" t="s">
        <v>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4" max="4" width="15.63"/>
    <col customWidth="1" min="6" max="6" width="20.0"/>
    <col customWidth="1" min="7" max="7" width="21.88"/>
    <col customWidth="1" min="8" max="8" width="14.13"/>
    <col customWidth="1" min="9" max="9" width="14.25"/>
    <col customWidth="1" min="10" max="10" width="22.38"/>
    <col customWidth="1" min="11" max="11" width="28.75"/>
    <col customWidth="1" min="12" max="12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15</v>
      </c>
      <c r="K1" s="3" t="s">
        <v>21</v>
      </c>
      <c r="L1" s="3" t="s">
        <v>23</v>
      </c>
    </row>
    <row r="2">
      <c r="A2" s="1">
        <v>1.0</v>
      </c>
      <c r="B2" s="1" t="s">
        <v>9</v>
      </c>
      <c r="C2" s="1" t="s">
        <v>10</v>
      </c>
      <c r="D2" s="1">
        <v>45000.0</v>
      </c>
      <c r="E2" s="2">
        <v>46143.0</v>
      </c>
      <c r="F2" s="1" t="s">
        <v>11</v>
      </c>
      <c r="G2" s="1" t="s">
        <v>12</v>
      </c>
      <c r="H2" s="1" t="s">
        <v>13</v>
      </c>
      <c r="I2" s="1" t="s">
        <v>14</v>
      </c>
      <c r="J2" s="4" t="str">
        <f t="shared" ref="J2:J21" si="1">IF(AND(H2="Disbursed", G2="Pending"), "CONTROL EXCEPTION", "PASS")</f>
        <v>PASS</v>
      </c>
      <c r="K2" s="4" t="str">
        <f t="shared" ref="K2:K21" si="2">IF(AND(D2&lt;100000, F2="Line Manager", COUNTIFS(C:C, C2, E:E, E2)&gt;1), "CONTROL EXCEPTION - SPLIT PO", "PASS")</f>
        <v>PASS</v>
      </c>
      <c r="L2" s="4" t="str">
        <f t="shared" ref="L2:L21" si="3">IF(COUNTIF(I:I, I2)&gt;1, "CONTROL EXCEPTION - DUPLICATE INVOICE", "PASS")</f>
        <v>PASS</v>
      </c>
    </row>
    <row r="3">
      <c r="A3" s="1">
        <v>2.0</v>
      </c>
      <c r="B3" s="1" t="s">
        <v>16</v>
      </c>
      <c r="C3" s="1" t="s">
        <v>17</v>
      </c>
      <c r="D3" s="1">
        <v>120000.0</v>
      </c>
      <c r="E3" s="2">
        <v>46145.0</v>
      </c>
      <c r="F3" s="1" t="s">
        <v>18</v>
      </c>
      <c r="G3" s="1" t="s">
        <v>12</v>
      </c>
      <c r="H3" s="1" t="s">
        <v>13</v>
      </c>
      <c r="I3" s="1" t="s">
        <v>19</v>
      </c>
      <c r="J3" s="4" t="str">
        <f t="shared" si="1"/>
        <v>PASS</v>
      </c>
      <c r="K3" s="4" t="str">
        <f t="shared" si="2"/>
        <v>PASS</v>
      </c>
      <c r="L3" s="4" t="str">
        <f t="shared" si="3"/>
        <v>PASS</v>
      </c>
    </row>
    <row r="4">
      <c r="A4" s="1">
        <v>3.0</v>
      </c>
      <c r="B4" s="1" t="s">
        <v>20</v>
      </c>
      <c r="C4" s="1" t="s">
        <v>22</v>
      </c>
      <c r="D4" s="1">
        <v>75000.0</v>
      </c>
      <c r="E4" s="2">
        <v>46146.0</v>
      </c>
      <c r="F4" s="1" t="s">
        <v>11</v>
      </c>
      <c r="G4" s="1" t="s">
        <v>24</v>
      </c>
      <c r="H4" s="1" t="s">
        <v>13</v>
      </c>
      <c r="I4" s="1" t="s">
        <v>25</v>
      </c>
      <c r="J4" s="4" t="str">
        <f t="shared" si="1"/>
        <v>CONTROL EXCEPTION</v>
      </c>
      <c r="K4" s="4" t="str">
        <f t="shared" si="2"/>
        <v>PASS</v>
      </c>
      <c r="L4" s="4" t="str">
        <f t="shared" si="3"/>
        <v>PASS</v>
      </c>
    </row>
    <row r="5">
      <c r="A5" s="1">
        <v>4.0</v>
      </c>
      <c r="B5" s="1" t="s">
        <v>26</v>
      </c>
      <c r="C5" s="1" t="s">
        <v>10</v>
      </c>
      <c r="D5" s="1">
        <v>60000.0</v>
      </c>
      <c r="E5" s="2">
        <v>46147.0</v>
      </c>
      <c r="F5" s="1" t="s">
        <v>11</v>
      </c>
      <c r="G5" s="1" t="s">
        <v>12</v>
      </c>
      <c r="H5" s="1" t="s">
        <v>13</v>
      </c>
      <c r="I5" s="1" t="s">
        <v>27</v>
      </c>
      <c r="J5" s="4" t="str">
        <f t="shared" si="1"/>
        <v>PASS</v>
      </c>
      <c r="K5" s="4" t="str">
        <f t="shared" si="2"/>
        <v>CONTROL EXCEPTION - SPLIT PO</v>
      </c>
      <c r="L5" s="4" t="str">
        <f t="shared" si="3"/>
        <v>PASS</v>
      </c>
    </row>
    <row r="6">
      <c r="A6" s="1">
        <v>5.0</v>
      </c>
      <c r="B6" s="1" t="s">
        <v>28</v>
      </c>
      <c r="C6" s="1" t="s">
        <v>10</v>
      </c>
      <c r="D6" s="1">
        <v>65000.0</v>
      </c>
      <c r="E6" s="2">
        <v>46147.0</v>
      </c>
      <c r="F6" s="1" t="s">
        <v>11</v>
      </c>
      <c r="G6" s="1" t="s">
        <v>12</v>
      </c>
      <c r="H6" s="1" t="s">
        <v>13</v>
      </c>
      <c r="I6" s="1" t="s">
        <v>29</v>
      </c>
      <c r="J6" s="4" t="str">
        <f t="shared" si="1"/>
        <v>PASS</v>
      </c>
      <c r="K6" s="4" t="str">
        <f t="shared" si="2"/>
        <v>CONTROL EXCEPTION - SPLIT PO</v>
      </c>
      <c r="L6" s="4" t="str">
        <f t="shared" si="3"/>
        <v>PASS</v>
      </c>
    </row>
    <row r="7">
      <c r="A7" s="1">
        <v>6.0</v>
      </c>
      <c r="B7" s="1" t="s">
        <v>30</v>
      </c>
      <c r="C7" s="1" t="s">
        <v>31</v>
      </c>
      <c r="D7" s="1">
        <v>30000.0</v>
      </c>
      <c r="E7" s="2">
        <v>46150.0</v>
      </c>
      <c r="F7" s="1" t="s">
        <v>11</v>
      </c>
      <c r="G7" s="1" t="s">
        <v>12</v>
      </c>
      <c r="H7" s="1" t="s">
        <v>13</v>
      </c>
      <c r="I7" s="1" t="s">
        <v>32</v>
      </c>
      <c r="J7" s="4" t="str">
        <f t="shared" si="1"/>
        <v>PASS</v>
      </c>
      <c r="K7" s="4" t="str">
        <f t="shared" si="2"/>
        <v>PASS</v>
      </c>
      <c r="L7" s="4" t="str">
        <f t="shared" si="3"/>
        <v>CONTROL EXCEPTION - DUPLICATE INVOICE</v>
      </c>
    </row>
    <row r="8">
      <c r="A8" s="1">
        <v>7.0</v>
      </c>
      <c r="B8" s="1" t="s">
        <v>33</v>
      </c>
      <c r="C8" s="1" t="s">
        <v>22</v>
      </c>
      <c r="D8" s="1">
        <v>110000.0</v>
      </c>
      <c r="E8" s="2">
        <v>46152.0</v>
      </c>
      <c r="F8" s="1" t="s">
        <v>11</v>
      </c>
      <c r="G8" s="1" t="s">
        <v>24</v>
      </c>
      <c r="H8" s="1" t="s">
        <v>13</v>
      </c>
      <c r="I8" s="1" t="s">
        <v>34</v>
      </c>
      <c r="J8" s="4" t="str">
        <f t="shared" si="1"/>
        <v>CONTROL EXCEPTION</v>
      </c>
      <c r="K8" s="4" t="str">
        <f t="shared" si="2"/>
        <v>PASS</v>
      </c>
      <c r="L8" s="4" t="str">
        <f t="shared" si="3"/>
        <v>PASS</v>
      </c>
    </row>
    <row r="9">
      <c r="A9" s="1">
        <v>8.0</v>
      </c>
      <c r="B9" s="1" t="s">
        <v>35</v>
      </c>
      <c r="C9" s="1" t="s">
        <v>36</v>
      </c>
      <c r="D9" s="1">
        <v>250000.0</v>
      </c>
      <c r="E9" s="2">
        <v>46154.0</v>
      </c>
      <c r="F9" s="1" t="s">
        <v>18</v>
      </c>
      <c r="G9" s="1" t="s">
        <v>12</v>
      </c>
      <c r="H9" s="1" t="s">
        <v>13</v>
      </c>
      <c r="I9" s="1" t="s">
        <v>37</v>
      </c>
      <c r="J9" s="4" t="str">
        <f t="shared" si="1"/>
        <v>PASS</v>
      </c>
      <c r="K9" s="4" t="str">
        <f t="shared" si="2"/>
        <v>PASS</v>
      </c>
      <c r="L9" s="4" t="str">
        <f t="shared" si="3"/>
        <v>PASS</v>
      </c>
    </row>
    <row r="10">
      <c r="A10" s="1">
        <v>9.0</v>
      </c>
      <c r="B10" s="1" t="s">
        <v>38</v>
      </c>
      <c r="C10" s="1" t="s">
        <v>39</v>
      </c>
      <c r="D10" s="1">
        <v>15000.0</v>
      </c>
      <c r="E10" s="2">
        <v>46156.0</v>
      </c>
      <c r="F10" s="1" t="s">
        <v>11</v>
      </c>
      <c r="G10" s="1" t="s">
        <v>12</v>
      </c>
      <c r="H10" s="1" t="s">
        <v>24</v>
      </c>
      <c r="I10" s="1" t="s">
        <v>40</v>
      </c>
      <c r="J10" s="4" t="str">
        <f t="shared" si="1"/>
        <v>PASS</v>
      </c>
      <c r="K10" s="4" t="str">
        <f t="shared" si="2"/>
        <v>PASS</v>
      </c>
      <c r="L10" s="4" t="str">
        <f t="shared" si="3"/>
        <v>PASS</v>
      </c>
    </row>
    <row r="11">
      <c r="A11" s="1">
        <v>10.0</v>
      </c>
      <c r="B11" s="1" t="s">
        <v>41</v>
      </c>
      <c r="C11" s="1" t="s">
        <v>22</v>
      </c>
      <c r="D11" s="1">
        <v>40000.0</v>
      </c>
      <c r="E11" s="2">
        <v>46157.0</v>
      </c>
      <c r="F11" s="1" t="s">
        <v>11</v>
      </c>
      <c r="G11" s="1" t="s">
        <v>24</v>
      </c>
      <c r="H11" s="1" t="s">
        <v>13</v>
      </c>
      <c r="I11" s="1" t="s">
        <v>42</v>
      </c>
      <c r="J11" s="4" t="str">
        <f t="shared" si="1"/>
        <v>CONTROL EXCEPTION</v>
      </c>
      <c r="K11" s="4" t="str">
        <f t="shared" si="2"/>
        <v>PASS</v>
      </c>
      <c r="L11" s="4" t="str">
        <f t="shared" si="3"/>
        <v>PASS</v>
      </c>
    </row>
    <row r="12">
      <c r="A12" s="1">
        <v>11.0</v>
      </c>
      <c r="B12" s="1" t="s">
        <v>43</v>
      </c>
      <c r="C12" s="1" t="s">
        <v>44</v>
      </c>
      <c r="D12" s="1">
        <v>55000.0</v>
      </c>
      <c r="E12" s="2">
        <v>46160.0</v>
      </c>
      <c r="F12" s="1" t="s">
        <v>11</v>
      </c>
      <c r="G12" s="1" t="s">
        <v>12</v>
      </c>
      <c r="H12" s="1" t="s">
        <v>13</v>
      </c>
      <c r="I12" s="1" t="s">
        <v>45</v>
      </c>
      <c r="J12" s="4" t="str">
        <f t="shared" si="1"/>
        <v>PASS</v>
      </c>
      <c r="K12" s="4" t="str">
        <f t="shared" si="2"/>
        <v>CONTROL EXCEPTION - SPLIT PO</v>
      </c>
      <c r="L12" s="4" t="str">
        <f t="shared" si="3"/>
        <v>PASS</v>
      </c>
    </row>
    <row r="13">
      <c r="A13" s="1">
        <v>12.0</v>
      </c>
      <c r="B13" s="1" t="s">
        <v>46</v>
      </c>
      <c r="C13" s="1" t="s">
        <v>44</v>
      </c>
      <c r="D13" s="1">
        <v>58000.0</v>
      </c>
      <c r="E13" s="2">
        <v>46160.0</v>
      </c>
      <c r="F13" s="1" t="s">
        <v>11</v>
      </c>
      <c r="G13" s="1" t="s">
        <v>12</v>
      </c>
      <c r="H13" s="1" t="s">
        <v>13</v>
      </c>
      <c r="I13" s="1" t="s">
        <v>47</v>
      </c>
      <c r="J13" s="4" t="str">
        <f t="shared" si="1"/>
        <v>PASS</v>
      </c>
      <c r="K13" s="4" t="str">
        <f t="shared" si="2"/>
        <v>CONTROL EXCEPTION - SPLIT PO</v>
      </c>
      <c r="L13" s="4" t="str">
        <f t="shared" si="3"/>
        <v>PASS</v>
      </c>
    </row>
    <row r="14">
      <c r="A14" s="1">
        <v>13.0</v>
      </c>
      <c r="B14" s="1" t="s">
        <v>48</v>
      </c>
      <c r="C14" s="1" t="s">
        <v>17</v>
      </c>
      <c r="D14" s="1">
        <v>95000.0</v>
      </c>
      <c r="E14" s="2">
        <v>46162.0</v>
      </c>
      <c r="F14" s="1" t="s">
        <v>11</v>
      </c>
      <c r="G14" s="1" t="s">
        <v>12</v>
      </c>
      <c r="H14" s="1" t="s">
        <v>13</v>
      </c>
      <c r="I14" s="1" t="s">
        <v>49</v>
      </c>
      <c r="J14" s="4" t="str">
        <f t="shared" si="1"/>
        <v>PASS</v>
      </c>
      <c r="K14" s="4" t="str">
        <f t="shared" si="2"/>
        <v>PASS</v>
      </c>
      <c r="L14" s="4" t="str">
        <f t="shared" si="3"/>
        <v>PASS</v>
      </c>
    </row>
    <row r="15">
      <c r="A15" s="1">
        <v>14.0</v>
      </c>
      <c r="B15" s="1" t="s">
        <v>50</v>
      </c>
      <c r="C15" s="1" t="s">
        <v>51</v>
      </c>
      <c r="D15" s="1">
        <v>350000.0</v>
      </c>
      <c r="E15" s="2">
        <v>46164.0</v>
      </c>
      <c r="F15" s="1" t="s">
        <v>18</v>
      </c>
      <c r="G15" s="1" t="s">
        <v>24</v>
      </c>
      <c r="H15" s="1" t="s">
        <v>13</v>
      </c>
      <c r="I15" s="1" t="s">
        <v>52</v>
      </c>
      <c r="J15" s="4" t="str">
        <f t="shared" si="1"/>
        <v>CONTROL EXCEPTION</v>
      </c>
      <c r="K15" s="4" t="str">
        <f t="shared" si="2"/>
        <v>PASS</v>
      </c>
      <c r="L15" s="4" t="str">
        <f t="shared" si="3"/>
        <v>PASS</v>
      </c>
    </row>
    <row r="16">
      <c r="A16" s="1">
        <v>15.0</v>
      </c>
      <c r="B16" s="1" t="s">
        <v>53</v>
      </c>
      <c r="C16" s="1" t="s">
        <v>39</v>
      </c>
      <c r="D16" s="1">
        <v>18000.0</v>
      </c>
      <c r="E16" s="2">
        <v>46167.0</v>
      </c>
      <c r="F16" s="1" t="s">
        <v>11</v>
      </c>
      <c r="G16" s="1" t="s">
        <v>12</v>
      </c>
      <c r="H16" s="1" t="s">
        <v>24</v>
      </c>
      <c r="I16" s="1" t="s">
        <v>54</v>
      </c>
      <c r="J16" s="4" t="str">
        <f t="shared" si="1"/>
        <v>PASS</v>
      </c>
      <c r="K16" s="4" t="str">
        <f t="shared" si="2"/>
        <v>PASS</v>
      </c>
      <c r="L16" s="4" t="str">
        <f t="shared" si="3"/>
        <v>PASS</v>
      </c>
    </row>
    <row r="17">
      <c r="A17" s="1">
        <v>16.0</v>
      </c>
      <c r="B17" s="1" t="s">
        <v>55</v>
      </c>
      <c r="C17" s="1" t="s">
        <v>31</v>
      </c>
      <c r="D17" s="1">
        <v>25000.0</v>
      </c>
      <c r="E17" s="2">
        <v>46168.0</v>
      </c>
      <c r="F17" s="1" t="s">
        <v>11</v>
      </c>
      <c r="G17" s="1" t="s">
        <v>12</v>
      </c>
      <c r="H17" s="1" t="s">
        <v>13</v>
      </c>
      <c r="I17" s="1" t="s">
        <v>32</v>
      </c>
      <c r="J17" s="4" t="str">
        <f t="shared" si="1"/>
        <v>PASS</v>
      </c>
      <c r="K17" s="4" t="str">
        <f t="shared" si="2"/>
        <v>PASS</v>
      </c>
      <c r="L17" s="4" t="str">
        <f t="shared" si="3"/>
        <v>CONTROL EXCEPTION - DUPLICATE INVOICE</v>
      </c>
    </row>
    <row r="18">
      <c r="A18" s="1">
        <v>17.0</v>
      </c>
      <c r="B18" s="1" t="s">
        <v>56</v>
      </c>
      <c r="C18" s="1" t="s">
        <v>36</v>
      </c>
      <c r="D18" s="1">
        <v>85000.0</v>
      </c>
      <c r="E18" s="2">
        <v>46170.0</v>
      </c>
      <c r="F18" s="1" t="s">
        <v>11</v>
      </c>
      <c r="G18" s="1" t="s">
        <v>12</v>
      </c>
      <c r="H18" s="1" t="s">
        <v>13</v>
      </c>
      <c r="I18" s="1" t="s">
        <v>57</v>
      </c>
      <c r="J18" s="4" t="str">
        <f t="shared" si="1"/>
        <v>PASS</v>
      </c>
      <c r="K18" s="4" t="str">
        <f t="shared" si="2"/>
        <v>PASS</v>
      </c>
      <c r="L18" s="4" t="str">
        <f t="shared" si="3"/>
        <v>PASS</v>
      </c>
    </row>
    <row r="19">
      <c r="A19" s="1">
        <v>18.0</v>
      </c>
      <c r="B19" s="1" t="s">
        <v>58</v>
      </c>
      <c r="C19" s="1" t="s">
        <v>22</v>
      </c>
      <c r="D19" s="1">
        <v>90000.0</v>
      </c>
      <c r="E19" s="2">
        <v>46171.0</v>
      </c>
      <c r="F19" s="1" t="s">
        <v>11</v>
      </c>
      <c r="G19" s="1" t="s">
        <v>24</v>
      </c>
      <c r="H19" s="1" t="s">
        <v>24</v>
      </c>
      <c r="I19" s="1" t="s">
        <v>59</v>
      </c>
      <c r="J19" s="4" t="str">
        <f t="shared" si="1"/>
        <v>PASS</v>
      </c>
      <c r="K19" s="4" t="str">
        <f t="shared" si="2"/>
        <v>PASS</v>
      </c>
      <c r="L19" s="4" t="str">
        <f t="shared" si="3"/>
        <v>PASS</v>
      </c>
    </row>
    <row r="20">
      <c r="A20" s="1">
        <v>19.0</v>
      </c>
      <c r="B20" s="1" t="s">
        <v>60</v>
      </c>
      <c r="C20" s="1" t="s">
        <v>44</v>
      </c>
      <c r="D20" s="1">
        <v>48000.0</v>
      </c>
      <c r="E20" s="2">
        <v>46174.0</v>
      </c>
      <c r="F20" s="1" t="s">
        <v>11</v>
      </c>
      <c r="G20" s="1" t="s">
        <v>12</v>
      </c>
      <c r="H20" s="1" t="s">
        <v>13</v>
      </c>
      <c r="I20" s="1" t="s">
        <v>61</v>
      </c>
      <c r="J20" s="4" t="str">
        <f t="shared" si="1"/>
        <v>PASS</v>
      </c>
      <c r="K20" s="4" t="str">
        <f t="shared" si="2"/>
        <v>PASS</v>
      </c>
      <c r="L20" s="4" t="str">
        <f t="shared" si="3"/>
        <v>PASS</v>
      </c>
    </row>
    <row r="21">
      <c r="A21" s="1">
        <v>20.0</v>
      </c>
      <c r="B21" s="1" t="s">
        <v>62</v>
      </c>
      <c r="C21" s="1" t="s">
        <v>10</v>
      </c>
      <c r="D21" s="1">
        <v>130000.0</v>
      </c>
      <c r="E21" s="2">
        <v>46175.0</v>
      </c>
      <c r="F21" s="1" t="s">
        <v>18</v>
      </c>
      <c r="G21" s="1" t="s">
        <v>12</v>
      </c>
      <c r="H21" s="1" t="s">
        <v>13</v>
      </c>
      <c r="I21" s="1" t="s">
        <v>63</v>
      </c>
      <c r="J21" s="4" t="str">
        <f t="shared" si="1"/>
        <v>PASS</v>
      </c>
      <c r="K21" s="4" t="str">
        <f t="shared" si="2"/>
        <v>PASS</v>
      </c>
      <c r="L21" s="4" t="str">
        <f t="shared" si="3"/>
        <v>PASS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75"/>
    <col customWidth="1" min="2" max="2" width="33.25"/>
    <col customWidth="1" min="3" max="3" width="38.25"/>
    <col customWidth="1" min="4" max="4" width="19.88"/>
  </cols>
  <sheetData>
    <row r="1">
      <c r="E1" s="3" t="s">
        <v>65</v>
      </c>
    </row>
    <row r="2">
      <c r="E2" s="5">
        <f t="shared" ref="E2:E11" si="1">D2/20</f>
        <v>0.2</v>
      </c>
    </row>
    <row r="3">
      <c r="E3" s="5">
        <f t="shared" si="1"/>
        <v>0.2</v>
      </c>
    </row>
    <row r="4">
      <c r="E4" s="5">
        <f t="shared" si="1"/>
        <v>0.2</v>
      </c>
    </row>
    <row r="5">
      <c r="E5" s="5">
        <f t="shared" si="1"/>
        <v>0.2</v>
      </c>
    </row>
    <row r="6">
      <c r="E6" s="5">
        <f t="shared" si="1"/>
        <v>0.2</v>
      </c>
    </row>
    <row r="7">
      <c r="E7" s="5">
        <f t="shared" si="1"/>
        <v>0.1</v>
      </c>
    </row>
    <row r="8">
      <c r="E8" s="5">
        <f t="shared" si="1"/>
        <v>0.5</v>
      </c>
    </row>
    <row r="9">
      <c r="E9" s="5">
        <f t="shared" si="1"/>
        <v>0.6</v>
      </c>
    </row>
    <row r="10">
      <c r="E10" s="5">
        <f t="shared" si="1"/>
        <v>0.8</v>
      </c>
    </row>
    <row r="11">
      <c r="E11" s="5">
        <f t="shared" si="1"/>
        <v>1</v>
      </c>
    </row>
  </sheetData>
  <drawing r:id="rId2"/>
</worksheet>
</file>